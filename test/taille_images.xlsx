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ata\Donnees\IOT\WS_Platformio\Plat_Esp_Camera\test\"/>
    </mc:Choice>
  </mc:AlternateContent>
  <xr:revisionPtr revIDLastSave="0" documentId="13_ncr:1_{C34DAFED-458D-4E2B-B504-FFEFFF3C116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E34" i="1"/>
  <c r="H37" i="1"/>
  <c r="H38" i="1"/>
  <c r="H34" i="1"/>
  <c r="H33" i="1"/>
  <c r="H32" i="1"/>
  <c r="H31" i="1"/>
  <c r="E38" i="1"/>
  <c r="E37" i="1"/>
  <c r="F37" i="1" s="1"/>
  <c r="E36" i="1"/>
  <c r="F36" i="1" s="1"/>
  <c r="E35" i="1"/>
  <c r="F34" i="1" s="1"/>
  <c r="E33" i="1"/>
  <c r="F33" i="1" s="1"/>
  <c r="E32" i="1"/>
  <c r="F32" i="1" s="1"/>
  <c r="E31" i="1"/>
  <c r="F35" i="1" l="1"/>
  <c r="F31" i="1"/>
  <c r="O25" i="1"/>
  <c r="N25" i="1"/>
  <c r="H24" i="1"/>
  <c r="D24" i="1"/>
  <c r="N24" i="1"/>
  <c r="O24" i="1" s="1"/>
  <c r="O7" i="1" l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6" i="1"/>
  <c r="O26" i="1" s="1"/>
  <c r="N7" i="1"/>
  <c r="H26" i="1"/>
  <c r="H23" i="1"/>
  <c r="H22" i="1"/>
  <c r="H21" i="1"/>
  <c r="H20" i="1"/>
  <c r="I8" i="1" s="1"/>
  <c r="H19" i="1"/>
  <c r="I7" i="1" s="1"/>
  <c r="H18" i="1"/>
  <c r="H17" i="1"/>
  <c r="I9" i="1" s="1"/>
  <c r="H16" i="1"/>
  <c r="H15" i="1"/>
  <c r="H14" i="1"/>
  <c r="H13" i="1"/>
  <c r="H12" i="1"/>
  <c r="H11" i="1"/>
  <c r="H9" i="1"/>
  <c r="H7" i="1"/>
  <c r="H8" i="1"/>
  <c r="D26" i="1"/>
  <c r="D19" i="1"/>
  <c r="D20" i="1" s="1"/>
  <c r="D21" i="1" s="1"/>
  <c r="D22" i="1" s="1"/>
  <c r="D17" i="1"/>
  <c r="D16" i="1"/>
  <c r="D15" i="1"/>
  <c r="D13" i="1"/>
  <c r="D12" i="1"/>
  <c r="D11" i="1"/>
  <c r="D9" i="1"/>
  <c r="D8" i="1"/>
  <c r="D7" i="1"/>
  <c r="D23" i="1"/>
  <c r="D18" i="1"/>
  <c r="D14" i="1"/>
  <c r="D10" i="1"/>
  <c r="D6" i="1"/>
</calcChain>
</file>

<file path=xl/sharedStrings.xml><?xml version="1.0" encoding="utf-8"?>
<sst xmlns="http://schemas.openxmlformats.org/spreadsheetml/2006/main" count="57" uniqueCount="44">
  <si>
    <t>Size</t>
  </si>
  <si>
    <t>Quali</t>
  </si>
  <si>
    <t>ko</t>
  </si>
  <si>
    <t>environ 40ms pour prendre photo, envoyer image</t>
  </si>
  <si>
    <t>W*h</t>
  </si>
  <si>
    <t>taille</t>
  </si>
  <si>
    <t>Q jpeg</t>
  </si>
  <si>
    <t>Q cam</t>
  </si>
  <si>
    <t>code</t>
  </si>
  <si>
    <t>800-600</t>
  </si>
  <si>
    <t>D-13</t>
  </si>
  <si>
    <t>E-23</t>
  </si>
  <si>
    <t>F-33</t>
  </si>
  <si>
    <t>G-43</t>
  </si>
  <si>
    <t>H-45</t>
  </si>
  <si>
    <t>I-46</t>
  </si>
  <si>
    <t>J-47</t>
  </si>
  <si>
    <t>240-176</t>
  </si>
  <si>
    <t>480-320</t>
  </si>
  <si>
    <t>640-480</t>
  </si>
  <si>
    <t>1 image</t>
  </si>
  <si>
    <t>7-82</t>
  </si>
  <si>
    <t>J-147</t>
  </si>
  <si>
    <t>V-177</t>
  </si>
  <si>
    <t>lpc</t>
  </si>
  <si>
    <t>jpg</t>
  </si>
  <si>
    <t>1600-1200</t>
  </si>
  <si>
    <t>qual</t>
  </si>
  <si>
    <t>Qual cam</t>
  </si>
  <si>
    <t>Quali jpeg</t>
  </si>
  <si>
    <t>H-144</t>
  </si>
  <si>
    <t>U-x34</t>
  </si>
  <si>
    <t>Q70-&gt;74ko   Q60-&gt;52ko  Q28-&gt;14ko</t>
  </si>
  <si>
    <t>Q60-&gt;46ko  Q28-&gt;13ko</t>
  </si>
  <si>
    <t>code Im</t>
  </si>
  <si>
    <t>24k à 167k</t>
  </si>
  <si>
    <t>13k à 80k</t>
  </si>
  <si>
    <t>9k à 47k</t>
  </si>
  <si>
    <t>5k à 27k</t>
  </si>
  <si>
    <t>5k à 28k</t>
  </si>
  <si>
    <t>1,7k à 6k</t>
  </si>
  <si>
    <t>1k à 3k</t>
  </si>
  <si>
    <t>Qualité</t>
  </si>
  <si>
    <t>en 1600*1200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</si>
</sst>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0" borderId="0" xfId="0" quotePrefix="1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69"/>
  <sheetViews>
    <sheetView tabSelected="1" topLeftCell="A41" workbookViewId="0">
      <selection activeCell="E46" sqref="E46"/>
    </sheetView>
  </sheetViews>
  <sheetFormatPr baseColWidth="10" defaultColWidth="8.88671875" defaultRowHeight="14.4" x14ac:dyDescent="0.3"/>
  <cols>
    <col min="4" max="4" width="8.88671875" style="2"/>
    <col min="5" max="5" width="13.21875" style="2" bestFit="1" customWidth="1"/>
    <col min="8" max="9" width="8.88671875" style="2"/>
    <col min="14" max="14" width="8.88671875" style="2"/>
    <col min="15" max="15" width="8.88671875" style="1"/>
  </cols>
  <sheetData>
    <row r="4" spans="1:15" x14ac:dyDescent="0.3">
      <c r="A4" t="s">
        <v>0</v>
      </c>
      <c r="F4" t="s">
        <v>1</v>
      </c>
      <c r="G4" t="s">
        <v>2</v>
      </c>
    </row>
    <row r="5" spans="1:15" x14ac:dyDescent="0.3">
      <c r="C5" t="s">
        <v>34</v>
      </c>
      <c r="D5" s="2" t="s">
        <v>4</v>
      </c>
      <c r="E5" s="2" t="s">
        <v>6</v>
      </c>
      <c r="F5" t="s">
        <v>7</v>
      </c>
      <c r="G5" t="s">
        <v>5</v>
      </c>
    </row>
    <row r="6" spans="1:15" x14ac:dyDescent="0.3">
      <c r="A6">
        <v>2048</v>
      </c>
      <c r="B6">
        <v>1536</v>
      </c>
      <c r="D6" s="2">
        <f>B6*A6/100000</f>
        <v>31.457280000000001</v>
      </c>
      <c r="E6" s="2">
        <v>100</v>
      </c>
      <c r="F6">
        <v>4</v>
      </c>
    </row>
    <row r="7" spans="1:15" x14ac:dyDescent="0.3">
      <c r="A7">
        <v>2048</v>
      </c>
      <c r="B7">
        <v>1536</v>
      </c>
      <c r="D7" s="2">
        <f>D6</f>
        <v>31.457280000000001</v>
      </c>
      <c r="E7" s="2">
        <v>60</v>
      </c>
      <c r="F7">
        <v>10</v>
      </c>
      <c r="G7">
        <v>181.2</v>
      </c>
      <c r="H7" s="2">
        <f>D7/F7*70</f>
        <v>220.20096000000001</v>
      </c>
      <c r="I7" s="1">
        <f>H7/H19</f>
        <v>3.84</v>
      </c>
      <c r="N7" s="2">
        <f>A7*B7/8*(0.15+2.4*(E7/100)^2)</f>
        <v>398721.02399999998</v>
      </c>
      <c r="O7" s="1">
        <f>N7/G7/1000</f>
        <v>2.200447152317881</v>
      </c>
    </row>
    <row r="8" spans="1:15" x14ac:dyDescent="0.3">
      <c r="A8">
        <v>2048</v>
      </c>
      <c r="B8">
        <v>1536</v>
      </c>
      <c r="D8" s="2">
        <f>D7</f>
        <v>31.457280000000001</v>
      </c>
      <c r="E8" s="2">
        <v>30</v>
      </c>
      <c r="F8">
        <v>14</v>
      </c>
      <c r="G8">
        <v>141.69999999999999</v>
      </c>
      <c r="H8" s="2">
        <f>D8/F8*70</f>
        <v>157.28639999999999</v>
      </c>
      <c r="I8" s="1">
        <f>H8/H20</f>
        <v>3.8399999999999994</v>
      </c>
      <c r="N8" s="2">
        <f t="shared" ref="N8:N26" si="0">A8*B8/8*(0.15+2.4*(E8/100)^2)</f>
        <v>143917.05599999998</v>
      </c>
      <c r="O8" s="1">
        <f t="shared" ref="O8:O26" si="1">N8/G8/1000</f>
        <v>1.0156461256175018</v>
      </c>
    </row>
    <row r="9" spans="1:15" x14ac:dyDescent="0.3">
      <c r="A9">
        <v>2048</v>
      </c>
      <c r="B9">
        <v>1536</v>
      </c>
      <c r="D9" s="2">
        <f>D8</f>
        <v>31.457280000000001</v>
      </c>
      <c r="E9" s="2">
        <v>10</v>
      </c>
      <c r="F9">
        <v>63</v>
      </c>
      <c r="G9">
        <v>67.7</v>
      </c>
      <c r="H9" s="2">
        <f>D9/F9*70</f>
        <v>34.952533333333335</v>
      </c>
      <c r="I9" s="1">
        <f>H9/H17</f>
        <v>2.56</v>
      </c>
      <c r="J9">
        <v>12</v>
      </c>
      <c r="K9">
        <v>21</v>
      </c>
      <c r="L9">
        <v>31</v>
      </c>
      <c r="M9">
        <v>42</v>
      </c>
      <c r="N9" s="2">
        <f t="shared" si="0"/>
        <v>68419.584000000003</v>
      </c>
      <c r="O9" s="1">
        <f t="shared" si="1"/>
        <v>1.0106290103397342</v>
      </c>
    </row>
    <row r="10" spans="1:15" x14ac:dyDescent="0.3">
      <c r="A10">
        <v>1600</v>
      </c>
      <c r="B10">
        <v>1200</v>
      </c>
      <c r="D10" s="2">
        <f>B10*A10/100000</f>
        <v>19.2</v>
      </c>
      <c r="E10" s="2">
        <v>100</v>
      </c>
      <c r="F10">
        <v>4</v>
      </c>
      <c r="N10" s="2">
        <f t="shared" si="0"/>
        <v>612000</v>
      </c>
      <c r="O10" s="1" t="e">
        <f t="shared" si="1"/>
        <v>#DIV/0!</v>
      </c>
    </row>
    <row r="11" spans="1:15" x14ac:dyDescent="0.3">
      <c r="A11">
        <v>1600</v>
      </c>
      <c r="B11">
        <v>1200</v>
      </c>
      <c r="D11" s="2">
        <f>D10</f>
        <v>19.2</v>
      </c>
      <c r="E11" s="2">
        <v>60</v>
      </c>
      <c r="F11">
        <v>10</v>
      </c>
      <c r="G11">
        <v>157.69999999999999</v>
      </c>
      <c r="H11" s="2">
        <f t="shared" ref="H11:H26" si="2">D11/F11*70</f>
        <v>134.4</v>
      </c>
      <c r="N11" s="2">
        <f t="shared" si="0"/>
        <v>243360</v>
      </c>
      <c r="O11" s="1">
        <f t="shared" si="1"/>
        <v>1.5431832593532024</v>
      </c>
    </row>
    <row r="12" spans="1:15" x14ac:dyDescent="0.3">
      <c r="A12">
        <v>1600</v>
      </c>
      <c r="B12">
        <v>1200</v>
      </c>
      <c r="D12" s="2">
        <f>D11</f>
        <v>19.2</v>
      </c>
      <c r="E12" s="2">
        <v>30</v>
      </c>
      <c r="F12">
        <v>14</v>
      </c>
      <c r="G12">
        <v>88.5</v>
      </c>
      <c r="H12" s="2">
        <f t="shared" si="2"/>
        <v>96</v>
      </c>
      <c r="N12" s="2">
        <f t="shared" si="0"/>
        <v>87840</v>
      </c>
      <c r="O12" s="1">
        <f t="shared" si="1"/>
        <v>0.99254237288135594</v>
      </c>
    </row>
    <row r="13" spans="1:15" x14ac:dyDescent="0.3">
      <c r="A13">
        <v>1600</v>
      </c>
      <c r="B13">
        <v>1200</v>
      </c>
      <c r="D13" s="2">
        <f>D12</f>
        <v>19.2</v>
      </c>
      <c r="E13" s="2">
        <v>10</v>
      </c>
      <c r="F13">
        <v>63</v>
      </c>
      <c r="G13">
        <v>42.5</v>
      </c>
      <c r="H13" s="2">
        <f t="shared" si="2"/>
        <v>21.333333333333332</v>
      </c>
      <c r="N13" s="2">
        <f t="shared" si="0"/>
        <v>41760</v>
      </c>
      <c r="O13" s="1">
        <f t="shared" si="1"/>
        <v>0.98258823529411765</v>
      </c>
    </row>
    <row r="14" spans="1:15" x14ac:dyDescent="0.3">
      <c r="A14">
        <v>1200</v>
      </c>
      <c r="B14">
        <v>1024</v>
      </c>
      <c r="D14" s="2">
        <f>B14*A14/100000</f>
        <v>12.288</v>
      </c>
      <c r="E14" s="2">
        <v>100</v>
      </c>
      <c r="F14">
        <v>4</v>
      </c>
      <c r="G14">
        <v>201.7</v>
      </c>
      <c r="H14" s="2">
        <f t="shared" si="2"/>
        <v>215.04</v>
      </c>
      <c r="N14" s="2">
        <f t="shared" si="0"/>
        <v>391680</v>
      </c>
      <c r="O14" s="1">
        <f t="shared" si="1"/>
        <v>1.9418939018344077</v>
      </c>
    </row>
    <row r="15" spans="1:15" x14ac:dyDescent="0.3">
      <c r="A15">
        <v>1200</v>
      </c>
      <c r="B15">
        <v>1024</v>
      </c>
      <c r="D15" s="2">
        <f t="shared" ref="D15:D17" si="3">D14</f>
        <v>12.288</v>
      </c>
      <c r="E15" s="2">
        <v>65</v>
      </c>
      <c r="F15">
        <v>8</v>
      </c>
      <c r="G15">
        <v>117.7</v>
      </c>
      <c r="H15" s="2">
        <f t="shared" si="2"/>
        <v>107.52</v>
      </c>
      <c r="N15" s="2">
        <f t="shared" si="0"/>
        <v>178790.39999999999</v>
      </c>
      <c r="O15" s="1">
        <f t="shared" si="1"/>
        <v>1.5190348343245539</v>
      </c>
    </row>
    <row r="16" spans="1:15" x14ac:dyDescent="0.3">
      <c r="A16">
        <v>1200</v>
      </c>
      <c r="B16">
        <v>1024</v>
      </c>
      <c r="D16" s="2">
        <f t="shared" si="3"/>
        <v>12.288</v>
      </c>
      <c r="E16" s="2">
        <v>30</v>
      </c>
      <c r="F16">
        <v>14</v>
      </c>
      <c r="G16">
        <v>59.7</v>
      </c>
      <c r="H16" s="2">
        <f t="shared" si="2"/>
        <v>61.440000000000005</v>
      </c>
      <c r="N16" s="2">
        <f t="shared" si="0"/>
        <v>56217.599999999999</v>
      </c>
      <c r="O16" s="1">
        <f t="shared" si="1"/>
        <v>0.94166834170854274</v>
      </c>
    </row>
    <row r="17" spans="1:15" x14ac:dyDescent="0.3">
      <c r="A17">
        <v>1200</v>
      </c>
      <c r="B17">
        <v>1024</v>
      </c>
      <c r="D17" s="2">
        <f t="shared" si="3"/>
        <v>12.288</v>
      </c>
      <c r="E17" s="2">
        <v>10</v>
      </c>
      <c r="F17">
        <v>63</v>
      </c>
      <c r="G17">
        <v>30</v>
      </c>
      <c r="H17" s="2">
        <f t="shared" si="2"/>
        <v>13.653333333333334</v>
      </c>
      <c r="N17" s="2">
        <f t="shared" si="0"/>
        <v>26726.399999999998</v>
      </c>
      <c r="O17" s="1">
        <f t="shared" si="1"/>
        <v>0.89087999999999989</v>
      </c>
    </row>
    <row r="18" spans="1:15" x14ac:dyDescent="0.3">
      <c r="A18">
        <v>1024</v>
      </c>
      <c r="B18">
        <v>800</v>
      </c>
      <c r="D18" s="2">
        <f>B18*A18/100000</f>
        <v>8.1920000000000002</v>
      </c>
      <c r="E18" s="2">
        <v>100</v>
      </c>
      <c r="F18">
        <v>4</v>
      </c>
      <c r="G18">
        <v>48.3</v>
      </c>
      <c r="H18" s="2">
        <f t="shared" si="2"/>
        <v>143.36000000000001</v>
      </c>
      <c r="J18">
        <v>11</v>
      </c>
      <c r="K18">
        <v>20</v>
      </c>
      <c r="L18">
        <v>30</v>
      </c>
      <c r="M18">
        <v>41</v>
      </c>
      <c r="N18" s="2">
        <f t="shared" si="0"/>
        <v>261119.99999999997</v>
      </c>
      <c r="O18" s="1">
        <f t="shared" si="1"/>
        <v>5.4062111801242239</v>
      </c>
    </row>
    <row r="19" spans="1:15" x14ac:dyDescent="0.3">
      <c r="A19">
        <v>1024</v>
      </c>
      <c r="B19">
        <v>800</v>
      </c>
      <c r="D19" s="2">
        <f t="shared" ref="D19:D22" si="4">D18</f>
        <v>8.1920000000000002</v>
      </c>
      <c r="E19" s="2">
        <v>60</v>
      </c>
      <c r="F19">
        <v>10</v>
      </c>
      <c r="G19">
        <v>33.6</v>
      </c>
      <c r="H19" s="2">
        <f t="shared" si="2"/>
        <v>57.344000000000001</v>
      </c>
      <c r="N19" s="2">
        <f t="shared" si="0"/>
        <v>103833.60000000001</v>
      </c>
      <c r="O19" s="1">
        <f t="shared" si="1"/>
        <v>3.0902857142857143</v>
      </c>
    </row>
    <row r="20" spans="1:15" x14ac:dyDescent="0.3">
      <c r="A20">
        <v>1024</v>
      </c>
      <c r="B20">
        <v>800</v>
      </c>
      <c r="D20" s="2">
        <f t="shared" si="4"/>
        <v>8.1920000000000002</v>
      </c>
      <c r="E20" s="2">
        <v>30</v>
      </c>
      <c r="F20">
        <v>14</v>
      </c>
      <c r="G20">
        <v>29.6</v>
      </c>
      <c r="H20" s="2">
        <f t="shared" si="2"/>
        <v>40.96</v>
      </c>
      <c r="N20" s="2">
        <f t="shared" si="0"/>
        <v>37478.400000000001</v>
      </c>
      <c r="O20" s="1">
        <f t="shared" si="1"/>
        <v>1.2661621621621622</v>
      </c>
    </row>
    <row r="21" spans="1:15" x14ac:dyDescent="0.3">
      <c r="A21">
        <v>1024</v>
      </c>
      <c r="B21">
        <v>800</v>
      </c>
      <c r="D21" s="2">
        <f t="shared" si="4"/>
        <v>8.1920000000000002</v>
      </c>
      <c r="E21" s="2">
        <v>20</v>
      </c>
      <c r="F21">
        <v>32</v>
      </c>
      <c r="G21">
        <v>20.3</v>
      </c>
      <c r="H21" s="2">
        <f t="shared" si="2"/>
        <v>17.920000000000002</v>
      </c>
      <c r="N21" s="2">
        <f t="shared" si="0"/>
        <v>25190.400000000001</v>
      </c>
      <c r="O21" s="1">
        <f t="shared" si="1"/>
        <v>1.2409064039408868</v>
      </c>
    </row>
    <row r="22" spans="1:15" x14ac:dyDescent="0.3">
      <c r="A22">
        <v>1024</v>
      </c>
      <c r="B22">
        <v>800</v>
      </c>
      <c r="D22" s="2">
        <f t="shared" si="4"/>
        <v>8.1920000000000002</v>
      </c>
      <c r="E22" s="2">
        <v>10</v>
      </c>
      <c r="F22">
        <v>63</v>
      </c>
      <c r="G22">
        <v>17.5</v>
      </c>
      <c r="H22" s="2">
        <f t="shared" si="2"/>
        <v>9.1022222222222222</v>
      </c>
      <c r="J22">
        <v>9</v>
      </c>
      <c r="K22">
        <v>19</v>
      </c>
      <c r="L22">
        <v>28</v>
      </c>
      <c r="M22">
        <v>39</v>
      </c>
      <c r="N22" s="2">
        <f t="shared" si="0"/>
        <v>17817.599999999999</v>
      </c>
      <c r="O22" s="1">
        <f t="shared" si="1"/>
        <v>1.0181485714285714</v>
      </c>
    </row>
    <row r="23" spans="1:15" x14ac:dyDescent="0.3">
      <c r="A23">
        <v>800</v>
      </c>
      <c r="B23">
        <v>600</v>
      </c>
      <c r="D23" s="2">
        <f>B23*A23/100000</f>
        <v>4.8</v>
      </c>
      <c r="E23" s="2">
        <v>100</v>
      </c>
      <c r="F23">
        <v>4</v>
      </c>
      <c r="G23">
        <v>65.5</v>
      </c>
      <c r="H23" s="2">
        <f t="shared" si="2"/>
        <v>84</v>
      </c>
      <c r="J23" t="s">
        <v>32</v>
      </c>
      <c r="N23" s="2">
        <f t="shared" si="0"/>
        <v>153000</v>
      </c>
      <c r="O23" s="1">
        <f t="shared" si="1"/>
        <v>2.3358778625954195</v>
      </c>
    </row>
    <row r="24" spans="1:15" x14ac:dyDescent="0.3">
      <c r="A24">
        <v>800</v>
      </c>
      <c r="B24">
        <v>600</v>
      </c>
      <c r="D24" s="2">
        <f>B24*A24/100000</f>
        <v>4.8</v>
      </c>
      <c r="E24" s="2">
        <v>72</v>
      </c>
      <c r="F24">
        <v>11</v>
      </c>
      <c r="G24">
        <v>34</v>
      </c>
      <c r="H24" s="2">
        <f t="shared" si="2"/>
        <v>30.545454545454543</v>
      </c>
      <c r="J24" t="s">
        <v>33</v>
      </c>
      <c r="N24" s="2">
        <f t="shared" si="0"/>
        <v>83649.599999999991</v>
      </c>
      <c r="O24" s="1">
        <f t="shared" si="1"/>
        <v>2.4602823529411761</v>
      </c>
    </row>
    <row r="25" spans="1:15" x14ac:dyDescent="0.3">
      <c r="A25">
        <v>800</v>
      </c>
      <c r="B25">
        <v>600</v>
      </c>
      <c r="E25" s="2">
        <v>54</v>
      </c>
      <c r="F25">
        <v>26</v>
      </c>
      <c r="G25">
        <v>21.1</v>
      </c>
      <c r="N25" s="2">
        <f t="shared" si="0"/>
        <v>50990.400000000001</v>
      </c>
      <c r="O25" s="1">
        <f t="shared" si="1"/>
        <v>2.4166066350710897</v>
      </c>
    </row>
    <row r="26" spans="1:15" x14ac:dyDescent="0.3">
      <c r="A26">
        <v>800</v>
      </c>
      <c r="B26">
        <v>600</v>
      </c>
      <c r="D26" s="2">
        <f>D23</f>
        <v>4.8</v>
      </c>
      <c r="E26" s="2">
        <v>5</v>
      </c>
      <c r="F26">
        <v>63</v>
      </c>
      <c r="G26">
        <v>15</v>
      </c>
      <c r="H26" s="2">
        <f t="shared" si="2"/>
        <v>5.333333333333333</v>
      </c>
      <c r="J26">
        <v>9</v>
      </c>
      <c r="K26">
        <v>18</v>
      </c>
      <c r="L26">
        <v>28</v>
      </c>
      <c r="M26">
        <v>39</v>
      </c>
      <c r="N26" s="2">
        <f t="shared" si="0"/>
        <v>9360</v>
      </c>
      <c r="O26" s="1">
        <f t="shared" si="1"/>
        <v>0.624</v>
      </c>
    </row>
    <row r="27" spans="1:15" x14ac:dyDescent="0.3">
      <c r="A27">
        <v>1280</v>
      </c>
    </row>
    <row r="29" spans="1:15" x14ac:dyDescent="0.3">
      <c r="A29">
        <v>2560</v>
      </c>
      <c r="B29">
        <v>1920</v>
      </c>
      <c r="C29">
        <v>9</v>
      </c>
    </row>
    <row r="30" spans="1:15" x14ac:dyDescent="0.3">
      <c r="A30">
        <v>2048</v>
      </c>
      <c r="B30">
        <v>1536</v>
      </c>
      <c r="C30">
        <v>8</v>
      </c>
    </row>
    <row r="31" spans="1:15" x14ac:dyDescent="0.3">
      <c r="A31">
        <v>1600</v>
      </c>
      <c r="B31">
        <v>1200</v>
      </c>
      <c r="C31">
        <v>7</v>
      </c>
      <c r="D31" s="2" t="s">
        <v>35</v>
      </c>
      <c r="E31" s="2">
        <f>A31*B31/10000</f>
        <v>192</v>
      </c>
      <c r="F31" s="1">
        <f>E31/E32</f>
        <v>1.46484375</v>
      </c>
      <c r="H31" s="2">
        <f>167/24</f>
        <v>6.958333333333333</v>
      </c>
      <c r="I31" s="2">
        <f>167/47</f>
        <v>3.5531914893617023</v>
      </c>
    </row>
    <row r="32" spans="1:15" x14ac:dyDescent="0.3">
      <c r="A32">
        <v>1280</v>
      </c>
      <c r="B32">
        <v>1024</v>
      </c>
      <c r="C32">
        <v>6</v>
      </c>
      <c r="D32" s="2" t="s">
        <v>36</v>
      </c>
      <c r="E32" s="2">
        <f t="shared" ref="E32:E38" si="5">A32*B32/10000</f>
        <v>131.072</v>
      </c>
      <c r="F32" s="1">
        <f t="shared" ref="F32:F37" si="6">E32/E33</f>
        <v>1.6666666666666667</v>
      </c>
      <c r="H32" s="2">
        <f>80/13</f>
        <v>6.1538461538461542</v>
      </c>
    </row>
    <row r="33" spans="1:8" x14ac:dyDescent="0.3">
      <c r="A33">
        <v>1024</v>
      </c>
      <c r="B33">
        <v>768</v>
      </c>
      <c r="C33">
        <v>5</v>
      </c>
      <c r="D33" s="2" t="s">
        <v>37</v>
      </c>
      <c r="E33" s="2">
        <f t="shared" si="5"/>
        <v>78.643199999999993</v>
      </c>
      <c r="F33" s="1">
        <f t="shared" si="6"/>
        <v>1.6383999999999999</v>
      </c>
      <c r="H33" s="2">
        <f>47/8</f>
        <v>5.875</v>
      </c>
    </row>
    <row r="34" spans="1:8" x14ac:dyDescent="0.3">
      <c r="A34">
        <v>800</v>
      </c>
      <c r="B34">
        <v>600</v>
      </c>
      <c r="C34">
        <v>4</v>
      </c>
      <c r="D34" s="2" t="s">
        <v>38</v>
      </c>
      <c r="E34" s="2">
        <f>A34*B34/10000</f>
        <v>48</v>
      </c>
      <c r="F34" s="1">
        <f t="shared" si="6"/>
        <v>1.5625</v>
      </c>
      <c r="H34" s="2">
        <f>27/5</f>
        <v>5.4</v>
      </c>
    </row>
    <row r="35" spans="1:8" x14ac:dyDescent="0.3">
      <c r="A35">
        <v>640</v>
      </c>
      <c r="B35">
        <v>480</v>
      </c>
      <c r="C35">
        <v>3</v>
      </c>
      <c r="D35" s="2" t="s">
        <v>39</v>
      </c>
      <c r="E35" s="2">
        <f t="shared" si="5"/>
        <v>30.72</v>
      </c>
      <c r="F35" s="1">
        <f t="shared" si="6"/>
        <v>2</v>
      </c>
    </row>
    <row r="36" spans="1:8" x14ac:dyDescent="0.3">
      <c r="A36">
        <v>480</v>
      </c>
      <c r="B36">
        <v>320</v>
      </c>
      <c r="C36">
        <v>2</v>
      </c>
      <c r="E36" s="2">
        <f t="shared" si="5"/>
        <v>15.36</v>
      </c>
      <c r="F36" s="1">
        <f t="shared" si="6"/>
        <v>3.6363636363636362</v>
      </c>
    </row>
    <row r="37" spans="1:8" x14ac:dyDescent="0.3">
      <c r="A37">
        <v>240</v>
      </c>
      <c r="B37">
        <v>176</v>
      </c>
      <c r="C37">
        <v>1</v>
      </c>
      <c r="D37" s="2" t="s">
        <v>40</v>
      </c>
      <c r="E37" s="2">
        <f t="shared" si="5"/>
        <v>4.2240000000000002</v>
      </c>
      <c r="F37" s="1">
        <f t="shared" si="6"/>
        <v>4.5833333333333339</v>
      </c>
      <c r="H37" s="2">
        <f>6/1.7</f>
        <v>3.5294117647058822</v>
      </c>
    </row>
    <row r="38" spans="1:8" x14ac:dyDescent="0.3">
      <c r="A38">
        <v>96</v>
      </c>
      <c r="B38">
        <v>96</v>
      </c>
      <c r="C38">
        <v>0</v>
      </c>
      <c r="D38" s="2" t="s">
        <v>41</v>
      </c>
      <c r="E38" s="2">
        <f t="shared" si="5"/>
        <v>0.92159999999999997</v>
      </c>
      <c r="H38" s="2">
        <f>3/1</f>
        <v>3</v>
      </c>
    </row>
    <row r="40" spans="1:8" x14ac:dyDescent="0.3">
      <c r="A40" t="s">
        <v>42</v>
      </c>
      <c r="B40" t="s">
        <v>43</v>
      </c>
    </row>
    <row r="41" spans="1:8" x14ac:dyDescent="0.3">
      <c r="B41">
        <v>4</v>
      </c>
      <c r="C41">
        <v>179</v>
      </c>
    </row>
    <row r="42" spans="1:8" x14ac:dyDescent="0.3">
      <c r="B42">
        <v>7</v>
      </c>
      <c r="C42">
        <v>155</v>
      </c>
    </row>
    <row r="43" spans="1:8" x14ac:dyDescent="0.3">
      <c r="B43">
        <v>11</v>
      </c>
      <c r="C43">
        <v>113</v>
      </c>
    </row>
    <row r="44" spans="1:8" x14ac:dyDescent="0.3">
      <c r="B44">
        <v>17</v>
      </c>
      <c r="C44">
        <v>90</v>
      </c>
    </row>
    <row r="45" spans="1:8" x14ac:dyDescent="0.3">
      <c r="B45">
        <v>24</v>
      </c>
      <c r="C45">
        <v>60</v>
      </c>
    </row>
    <row r="46" spans="1:8" x14ac:dyDescent="0.3">
      <c r="B46" s="4">
        <v>32</v>
      </c>
      <c r="C46" s="4">
        <v>47</v>
      </c>
    </row>
    <row r="47" spans="1:8" x14ac:dyDescent="0.3">
      <c r="B47" s="5">
        <v>43</v>
      </c>
      <c r="C47" s="5">
        <v>39</v>
      </c>
    </row>
    <row r="48" spans="1:8" x14ac:dyDescent="0.3">
      <c r="B48">
        <v>56</v>
      </c>
      <c r="C48">
        <v>34</v>
      </c>
    </row>
    <row r="49" spans="1:12" x14ac:dyDescent="0.3">
      <c r="B49">
        <v>63</v>
      </c>
      <c r="C49">
        <v>32</v>
      </c>
    </row>
    <row r="50" spans="1:12" x14ac:dyDescent="0.3">
      <c r="A50" t="s">
        <v>3</v>
      </c>
    </row>
    <row r="53" spans="1:12" x14ac:dyDescent="0.3">
      <c r="J53" t="s">
        <v>27</v>
      </c>
      <c r="K53" t="s">
        <v>24</v>
      </c>
      <c r="L53" t="s">
        <v>25</v>
      </c>
    </row>
    <row r="54" spans="1:12" x14ac:dyDescent="0.3">
      <c r="A54" t="s">
        <v>20</v>
      </c>
      <c r="D54" s="2" t="s">
        <v>28</v>
      </c>
      <c r="E54" s="2" t="s">
        <v>29</v>
      </c>
      <c r="F54" t="s">
        <v>8</v>
      </c>
      <c r="G54" t="s">
        <v>5</v>
      </c>
      <c r="K54" t="s">
        <v>5</v>
      </c>
    </row>
    <row r="55" spans="1:12" x14ac:dyDescent="0.3">
      <c r="A55">
        <v>800</v>
      </c>
      <c r="B55">
        <v>600</v>
      </c>
      <c r="E55" s="3" t="s">
        <v>21</v>
      </c>
      <c r="F55" t="s">
        <v>22</v>
      </c>
      <c r="G55">
        <v>32110</v>
      </c>
    </row>
    <row r="56" spans="1:12" x14ac:dyDescent="0.3">
      <c r="H56" s="2" t="s">
        <v>10</v>
      </c>
      <c r="I56" s="2" t="s">
        <v>17</v>
      </c>
      <c r="J56">
        <v>40</v>
      </c>
      <c r="K56">
        <v>10160</v>
      </c>
    </row>
    <row r="57" spans="1:12" x14ac:dyDescent="0.3">
      <c r="H57" s="2" t="s">
        <v>11</v>
      </c>
      <c r="I57" s="2" t="s">
        <v>18</v>
      </c>
      <c r="J57">
        <v>40</v>
      </c>
      <c r="K57">
        <v>17230</v>
      </c>
    </row>
    <row r="58" spans="1:12" x14ac:dyDescent="0.3">
      <c r="H58" s="2" t="s">
        <v>12</v>
      </c>
      <c r="I58" s="2" t="s">
        <v>19</v>
      </c>
      <c r="J58">
        <v>40</v>
      </c>
      <c r="K58">
        <v>22420</v>
      </c>
    </row>
    <row r="59" spans="1:12" x14ac:dyDescent="0.3">
      <c r="H59" s="2" t="s">
        <v>13</v>
      </c>
      <c r="I59" s="2" t="s">
        <v>9</v>
      </c>
      <c r="J59">
        <v>40</v>
      </c>
      <c r="K59">
        <v>3240</v>
      </c>
    </row>
    <row r="60" spans="1:12" x14ac:dyDescent="0.3">
      <c r="H60" s="2" t="s">
        <v>14</v>
      </c>
      <c r="I60" s="2" t="s">
        <v>9</v>
      </c>
      <c r="J60">
        <v>65</v>
      </c>
      <c r="K60">
        <v>21040</v>
      </c>
    </row>
    <row r="61" spans="1:12" x14ac:dyDescent="0.3">
      <c r="H61" s="2" t="s">
        <v>15</v>
      </c>
      <c r="I61" s="2" t="s">
        <v>9</v>
      </c>
      <c r="J61">
        <v>77</v>
      </c>
      <c r="K61">
        <v>36800</v>
      </c>
    </row>
    <row r="62" spans="1:12" x14ac:dyDescent="0.3">
      <c r="H62" s="2" t="s">
        <v>16</v>
      </c>
      <c r="I62" s="2" t="s">
        <v>9</v>
      </c>
      <c r="J62">
        <v>82</v>
      </c>
      <c r="K62">
        <v>57000</v>
      </c>
    </row>
    <row r="63" spans="1:12" x14ac:dyDescent="0.3">
      <c r="A63">
        <v>1600</v>
      </c>
      <c r="B63">
        <v>1200</v>
      </c>
      <c r="E63" s="3" t="s">
        <v>21</v>
      </c>
      <c r="F63" t="s">
        <v>23</v>
      </c>
      <c r="G63">
        <v>95710</v>
      </c>
      <c r="H63" s="2" t="s">
        <v>10</v>
      </c>
      <c r="I63" s="2" t="s">
        <v>17</v>
      </c>
      <c r="J63">
        <v>40</v>
      </c>
    </row>
    <row r="64" spans="1:12" x14ac:dyDescent="0.3">
      <c r="H64" s="2" t="s">
        <v>13</v>
      </c>
      <c r="I64" s="2" t="s">
        <v>9</v>
      </c>
      <c r="J64">
        <v>40</v>
      </c>
    </row>
    <row r="65" spans="1:10" x14ac:dyDescent="0.3">
      <c r="H65" s="2" t="s">
        <v>16</v>
      </c>
      <c r="I65" s="2" t="s">
        <v>9</v>
      </c>
    </row>
    <row r="66" spans="1:10" x14ac:dyDescent="0.3">
      <c r="I66" s="2" t="s">
        <v>26</v>
      </c>
      <c r="J66">
        <v>40</v>
      </c>
    </row>
    <row r="67" spans="1:10" x14ac:dyDescent="0.3">
      <c r="I67" s="2" t="s">
        <v>26</v>
      </c>
      <c r="J67">
        <v>82</v>
      </c>
    </row>
    <row r="68" spans="1:10" x14ac:dyDescent="0.3">
      <c r="A68">
        <v>800</v>
      </c>
      <c r="B68">
        <v>600</v>
      </c>
      <c r="D68" s="2">
        <v>36</v>
      </c>
      <c r="E68" s="2">
        <v>44</v>
      </c>
      <c r="F68" t="s">
        <v>30</v>
      </c>
      <c r="G68">
        <v>13260</v>
      </c>
    </row>
    <row r="69" spans="1:10" x14ac:dyDescent="0.3">
      <c r="H6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TOCQUEVILLE Eric</dc:creator>
  <cp:lastModifiedBy>DE TOCQUEVILLE Eric</cp:lastModifiedBy>
  <dcterms:created xsi:type="dcterms:W3CDTF">2015-06-05T18:17:20Z</dcterms:created>
  <dcterms:modified xsi:type="dcterms:W3CDTF">2026-08-20T07:32:55Z</dcterms:modified>
</cp:coreProperties>
</file>