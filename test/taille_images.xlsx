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Data\Donnees\IOT\WS_Platformio\Plat_Esp_Camera\test\"/>
    </mc:Choice>
  </mc:AlternateContent>
  <xr:revisionPtr revIDLastSave="0" documentId="13_ncr:1_{FA56DFD7-3D7B-4330-A4E6-3F9C6C8E479F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4" i="1" l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7" i="1"/>
  <c r="H7" i="1"/>
  <c r="H8" i="1"/>
  <c r="H9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9" i="1"/>
  <c r="G7" i="1"/>
  <c r="G8" i="1"/>
  <c r="C24" i="1"/>
  <c r="C19" i="1"/>
  <c r="C20" i="1" s="1"/>
  <c r="C21" i="1" s="1"/>
  <c r="C22" i="1" s="1"/>
  <c r="C17" i="1"/>
  <c r="C16" i="1"/>
  <c r="C15" i="1"/>
  <c r="C13" i="1"/>
  <c r="C12" i="1"/>
  <c r="C11" i="1"/>
  <c r="C9" i="1"/>
  <c r="C8" i="1"/>
  <c r="C7" i="1"/>
  <c r="C23" i="1"/>
  <c r="C18" i="1"/>
  <c r="C14" i="1"/>
  <c r="C10" i="1"/>
  <c r="C6" i="1"/>
</calcChain>
</file>

<file path=xl/sharedStrings.xml><?xml version="1.0" encoding="utf-8"?>
<sst xmlns="http://schemas.openxmlformats.org/spreadsheetml/2006/main" count="45" uniqueCount="32">
  <si>
    <t>Size</t>
  </si>
  <si>
    <t>Quali</t>
  </si>
  <si>
    <t>ko</t>
  </si>
  <si>
    <t>environ 40ms pour prendre photo, envoyer image</t>
  </si>
  <si>
    <t>W*h</t>
  </si>
  <si>
    <t>taille</t>
  </si>
  <si>
    <t>Q jpeg</t>
  </si>
  <si>
    <t>Q cam</t>
  </si>
  <si>
    <t>code</t>
  </si>
  <si>
    <t>800-600</t>
  </si>
  <si>
    <t>D-13</t>
  </si>
  <si>
    <t>E-23</t>
  </si>
  <si>
    <t>F-33</t>
  </si>
  <si>
    <t>G-43</t>
  </si>
  <si>
    <t>H-45</t>
  </si>
  <si>
    <t>I-46</t>
  </si>
  <si>
    <t>J-47</t>
  </si>
  <si>
    <t>240-176</t>
  </si>
  <si>
    <t>480-320</t>
  </si>
  <si>
    <t>640-480</t>
  </si>
  <si>
    <t>1 image</t>
  </si>
  <si>
    <t>7-82</t>
  </si>
  <si>
    <t>J-147</t>
  </si>
  <si>
    <t>V-177</t>
  </si>
  <si>
    <t>lpc</t>
  </si>
  <si>
    <t>jpg</t>
  </si>
  <si>
    <t>1600-1200</t>
  </si>
  <si>
    <t>qual</t>
  </si>
  <si>
    <t>Qual cam</t>
  </si>
  <si>
    <t>Quali jpeg</t>
  </si>
  <si>
    <t>H-144</t>
  </si>
  <si>
    <t>U-x34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</si>
</sst>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1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N46"/>
  <sheetViews>
    <sheetView tabSelected="1" topLeftCell="A26" workbookViewId="0">
      <selection activeCell="G45" sqref="G45"/>
    </sheetView>
  </sheetViews>
  <sheetFormatPr baseColWidth="10" defaultColWidth="8.88671875" defaultRowHeight="14.4" x14ac:dyDescent="0.3"/>
  <cols>
    <col min="3" max="3" width="8.88671875" style="2"/>
    <col min="4" max="4" width="13.21875" style="2" bestFit="1" customWidth="1"/>
    <col min="7" max="8" width="8.88671875" style="2"/>
    <col min="13" max="13" width="8.88671875" style="2"/>
    <col min="14" max="14" width="8.88671875" style="1"/>
  </cols>
  <sheetData>
    <row r="4" spans="1:14" x14ac:dyDescent="0.3">
      <c r="A4" t="s">
        <v>0</v>
      </c>
      <c r="E4" t="s">
        <v>1</v>
      </c>
      <c r="F4" t="s">
        <v>2</v>
      </c>
    </row>
    <row r="5" spans="1:14" x14ac:dyDescent="0.3">
      <c r="C5" s="2" t="s">
        <v>4</v>
      </c>
      <c r="D5" s="2" t="s">
        <v>6</v>
      </c>
      <c r="E5" t="s">
        <v>7</v>
      </c>
      <c r="F5" t="s">
        <v>5</v>
      </c>
    </row>
    <row r="6" spans="1:14" x14ac:dyDescent="0.3">
      <c r="A6">
        <v>2048</v>
      </c>
      <c r="B6">
        <v>1536</v>
      </c>
      <c r="C6" s="2">
        <f>B6*A6/100000</f>
        <v>31.457280000000001</v>
      </c>
      <c r="D6" s="2">
        <v>100</v>
      </c>
      <c r="E6">
        <v>4</v>
      </c>
    </row>
    <row r="7" spans="1:14" x14ac:dyDescent="0.3">
      <c r="A7">
        <v>2048</v>
      </c>
      <c r="B7">
        <v>1536</v>
      </c>
      <c r="C7" s="2">
        <f>C6</f>
        <v>31.457280000000001</v>
      </c>
      <c r="D7" s="2">
        <v>60</v>
      </c>
      <c r="E7">
        <v>10</v>
      </c>
      <c r="F7">
        <v>181.2</v>
      </c>
      <c r="G7" s="2">
        <f>C7/E7*70</f>
        <v>220.20096000000001</v>
      </c>
      <c r="H7" s="1">
        <f>G7/G19</f>
        <v>3.84</v>
      </c>
      <c r="M7" s="2">
        <f>A7*B7/8*(0.15+2.4*(D7/100)^2)</f>
        <v>398721.02399999998</v>
      </c>
      <c r="N7" s="1">
        <f>M7/F7/1000</f>
        <v>2.200447152317881</v>
      </c>
    </row>
    <row r="8" spans="1:14" x14ac:dyDescent="0.3">
      <c r="A8">
        <v>2048</v>
      </c>
      <c r="B8">
        <v>1536</v>
      </c>
      <c r="C8" s="2">
        <f>C7</f>
        <v>31.457280000000001</v>
      </c>
      <c r="D8" s="2">
        <v>30</v>
      </c>
      <c r="E8">
        <v>14</v>
      </c>
      <c r="F8">
        <v>141.69999999999999</v>
      </c>
      <c r="G8" s="2">
        <f>C8/E8*70</f>
        <v>157.28639999999999</v>
      </c>
      <c r="H8" s="1">
        <f>G8/G20</f>
        <v>3.8399999999999994</v>
      </c>
      <c r="M8" s="2">
        <f t="shared" ref="M8:M24" si="0">A8*B8/8*(0.15+2.4*(D8/100)^2)</f>
        <v>143917.05599999998</v>
      </c>
      <c r="N8" s="1">
        <f t="shared" ref="N8:N24" si="1">M8/F8/1000</f>
        <v>1.0156461256175018</v>
      </c>
    </row>
    <row r="9" spans="1:14" x14ac:dyDescent="0.3">
      <c r="A9">
        <v>2048</v>
      </c>
      <c r="B9">
        <v>1536</v>
      </c>
      <c r="C9" s="2">
        <f>C8</f>
        <v>31.457280000000001</v>
      </c>
      <c r="D9" s="2">
        <v>10</v>
      </c>
      <c r="E9">
        <v>63</v>
      </c>
      <c r="F9">
        <v>67.7</v>
      </c>
      <c r="G9" s="2">
        <f>C9/E9*70</f>
        <v>34.952533333333335</v>
      </c>
      <c r="H9" s="1">
        <f>G9/G17</f>
        <v>2.56</v>
      </c>
      <c r="I9">
        <v>12</v>
      </c>
      <c r="J9">
        <v>21</v>
      </c>
      <c r="K9">
        <v>31</v>
      </c>
      <c r="L9">
        <v>42</v>
      </c>
      <c r="M9" s="2">
        <f t="shared" si="0"/>
        <v>68419.584000000003</v>
      </c>
      <c r="N9" s="1">
        <f t="shared" si="1"/>
        <v>1.0106290103397342</v>
      </c>
    </row>
    <row r="10" spans="1:14" x14ac:dyDescent="0.3">
      <c r="A10">
        <v>1600</v>
      </c>
      <c r="B10">
        <v>1200</v>
      </c>
      <c r="C10" s="2">
        <f>B10*A10/100000</f>
        <v>19.2</v>
      </c>
      <c r="D10" s="2">
        <v>100</v>
      </c>
      <c r="E10">
        <v>4</v>
      </c>
      <c r="M10" s="2">
        <f t="shared" si="0"/>
        <v>612000</v>
      </c>
      <c r="N10" s="1" t="e">
        <f t="shared" si="1"/>
        <v>#DIV/0!</v>
      </c>
    </row>
    <row r="11" spans="1:14" x14ac:dyDescent="0.3">
      <c r="A11">
        <v>1600</v>
      </c>
      <c r="B11">
        <v>1200</v>
      </c>
      <c r="C11" s="2">
        <f>C10</f>
        <v>19.2</v>
      </c>
      <c r="D11" s="2">
        <v>60</v>
      </c>
      <c r="E11">
        <v>10</v>
      </c>
      <c r="F11">
        <v>157.69999999999999</v>
      </c>
      <c r="G11" s="2">
        <f t="shared" ref="G11:G24" si="2">C11/E11*70</f>
        <v>134.4</v>
      </c>
      <c r="M11" s="2">
        <f t="shared" si="0"/>
        <v>243360</v>
      </c>
      <c r="N11" s="1">
        <f t="shared" si="1"/>
        <v>1.5431832593532024</v>
      </c>
    </row>
    <row r="12" spans="1:14" x14ac:dyDescent="0.3">
      <c r="A12">
        <v>1600</v>
      </c>
      <c r="B12">
        <v>1200</v>
      </c>
      <c r="C12" s="2">
        <f>C11</f>
        <v>19.2</v>
      </c>
      <c r="D12" s="2">
        <v>30</v>
      </c>
      <c r="E12">
        <v>14</v>
      </c>
      <c r="F12">
        <v>88.5</v>
      </c>
      <c r="G12" s="2">
        <f t="shared" si="2"/>
        <v>96</v>
      </c>
      <c r="M12" s="2">
        <f t="shared" si="0"/>
        <v>87840</v>
      </c>
      <c r="N12" s="1">
        <f t="shared" si="1"/>
        <v>0.99254237288135594</v>
      </c>
    </row>
    <row r="13" spans="1:14" x14ac:dyDescent="0.3">
      <c r="A13">
        <v>1600</v>
      </c>
      <c r="B13">
        <v>1200</v>
      </c>
      <c r="C13" s="2">
        <f>C12</f>
        <v>19.2</v>
      </c>
      <c r="D13" s="2">
        <v>10</v>
      </c>
      <c r="E13">
        <v>63</v>
      </c>
      <c r="F13">
        <v>42.5</v>
      </c>
      <c r="G13" s="2">
        <f t="shared" si="2"/>
        <v>21.333333333333332</v>
      </c>
      <c r="M13" s="2">
        <f t="shared" si="0"/>
        <v>41760</v>
      </c>
      <c r="N13" s="1">
        <f t="shared" si="1"/>
        <v>0.98258823529411765</v>
      </c>
    </row>
    <row r="14" spans="1:14" x14ac:dyDescent="0.3">
      <c r="A14">
        <v>1200</v>
      </c>
      <c r="B14">
        <v>1024</v>
      </c>
      <c r="C14" s="2">
        <f>B14*A14/100000</f>
        <v>12.288</v>
      </c>
      <c r="D14" s="2">
        <v>100</v>
      </c>
      <c r="E14">
        <v>4</v>
      </c>
      <c r="F14">
        <v>201.7</v>
      </c>
      <c r="G14" s="2">
        <f t="shared" si="2"/>
        <v>215.04</v>
      </c>
      <c r="M14" s="2">
        <f t="shared" si="0"/>
        <v>391680</v>
      </c>
      <c r="N14" s="1">
        <f t="shared" si="1"/>
        <v>1.9418939018344077</v>
      </c>
    </row>
    <row r="15" spans="1:14" x14ac:dyDescent="0.3">
      <c r="A15">
        <v>1200</v>
      </c>
      <c r="B15">
        <v>1024</v>
      </c>
      <c r="C15" s="2">
        <f t="shared" ref="C15:C17" si="3">C14</f>
        <v>12.288</v>
      </c>
      <c r="D15" s="2">
        <v>65</v>
      </c>
      <c r="E15">
        <v>8</v>
      </c>
      <c r="F15">
        <v>117.7</v>
      </c>
      <c r="G15" s="2">
        <f t="shared" si="2"/>
        <v>107.52</v>
      </c>
      <c r="M15" s="2">
        <f t="shared" si="0"/>
        <v>178790.39999999999</v>
      </c>
      <c r="N15" s="1">
        <f t="shared" si="1"/>
        <v>1.5190348343245539</v>
      </c>
    </row>
    <row r="16" spans="1:14" x14ac:dyDescent="0.3">
      <c r="A16">
        <v>1200</v>
      </c>
      <c r="B16">
        <v>1024</v>
      </c>
      <c r="C16" s="2">
        <f t="shared" si="3"/>
        <v>12.288</v>
      </c>
      <c r="D16" s="2">
        <v>30</v>
      </c>
      <c r="E16">
        <v>14</v>
      </c>
      <c r="F16">
        <v>59.7</v>
      </c>
      <c r="G16" s="2">
        <f t="shared" si="2"/>
        <v>61.440000000000005</v>
      </c>
      <c r="M16" s="2">
        <f t="shared" si="0"/>
        <v>56217.599999999999</v>
      </c>
      <c r="N16" s="1">
        <f t="shared" si="1"/>
        <v>0.94166834170854274</v>
      </c>
    </row>
    <row r="17" spans="1:14" x14ac:dyDescent="0.3">
      <c r="A17">
        <v>1200</v>
      </c>
      <c r="B17">
        <v>1024</v>
      </c>
      <c r="C17" s="2">
        <f t="shared" si="3"/>
        <v>12.288</v>
      </c>
      <c r="D17" s="2">
        <v>10</v>
      </c>
      <c r="E17">
        <v>63</v>
      </c>
      <c r="F17">
        <v>30</v>
      </c>
      <c r="G17" s="2">
        <f t="shared" si="2"/>
        <v>13.653333333333334</v>
      </c>
      <c r="M17" s="2">
        <f t="shared" si="0"/>
        <v>26726.399999999998</v>
      </c>
      <c r="N17" s="1">
        <f t="shared" si="1"/>
        <v>0.89087999999999989</v>
      </c>
    </row>
    <row r="18" spans="1:14" x14ac:dyDescent="0.3">
      <c r="A18">
        <v>1024</v>
      </c>
      <c r="B18">
        <v>800</v>
      </c>
      <c r="C18" s="2">
        <f>B18*A18/100000</f>
        <v>8.1920000000000002</v>
      </c>
      <c r="D18" s="2">
        <v>100</v>
      </c>
      <c r="E18">
        <v>4</v>
      </c>
      <c r="F18">
        <v>48.3</v>
      </c>
      <c r="G18" s="2">
        <f t="shared" si="2"/>
        <v>143.36000000000001</v>
      </c>
      <c r="I18">
        <v>11</v>
      </c>
      <c r="J18">
        <v>20</v>
      </c>
      <c r="K18">
        <v>30</v>
      </c>
      <c r="L18">
        <v>41</v>
      </c>
      <c r="M18" s="2">
        <f t="shared" si="0"/>
        <v>261119.99999999997</v>
      </c>
      <c r="N18" s="1">
        <f t="shared" si="1"/>
        <v>5.4062111801242239</v>
      </c>
    </row>
    <row r="19" spans="1:14" x14ac:dyDescent="0.3">
      <c r="A19">
        <v>1024</v>
      </c>
      <c r="B19">
        <v>800</v>
      </c>
      <c r="C19" s="2">
        <f t="shared" ref="C19:C22" si="4">C18</f>
        <v>8.1920000000000002</v>
      </c>
      <c r="D19" s="2">
        <v>60</v>
      </c>
      <c r="E19">
        <v>10</v>
      </c>
      <c r="F19">
        <v>33.6</v>
      </c>
      <c r="G19" s="2">
        <f t="shared" si="2"/>
        <v>57.344000000000001</v>
      </c>
      <c r="M19" s="2">
        <f t="shared" si="0"/>
        <v>103833.60000000001</v>
      </c>
      <c r="N19" s="1">
        <f t="shared" si="1"/>
        <v>3.0902857142857143</v>
      </c>
    </row>
    <row r="20" spans="1:14" x14ac:dyDescent="0.3">
      <c r="A20">
        <v>1024</v>
      </c>
      <c r="B20">
        <v>800</v>
      </c>
      <c r="C20" s="2">
        <f t="shared" si="4"/>
        <v>8.1920000000000002</v>
      </c>
      <c r="D20" s="2">
        <v>30</v>
      </c>
      <c r="E20">
        <v>14</v>
      </c>
      <c r="F20">
        <v>29.6</v>
      </c>
      <c r="G20" s="2">
        <f t="shared" si="2"/>
        <v>40.96</v>
      </c>
      <c r="M20" s="2">
        <f t="shared" si="0"/>
        <v>37478.400000000001</v>
      </c>
      <c r="N20" s="1">
        <f t="shared" si="1"/>
        <v>1.2661621621621622</v>
      </c>
    </row>
    <row r="21" spans="1:14" x14ac:dyDescent="0.3">
      <c r="A21">
        <v>1024</v>
      </c>
      <c r="B21">
        <v>800</v>
      </c>
      <c r="C21" s="2">
        <f t="shared" si="4"/>
        <v>8.1920000000000002</v>
      </c>
      <c r="D21" s="2">
        <v>20</v>
      </c>
      <c r="E21">
        <v>32</v>
      </c>
      <c r="F21">
        <v>20.3</v>
      </c>
      <c r="G21" s="2">
        <f t="shared" si="2"/>
        <v>17.920000000000002</v>
      </c>
      <c r="M21" s="2">
        <f t="shared" si="0"/>
        <v>25190.400000000001</v>
      </c>
      <c r="N21" s="1">
        <f t="shared" si="1"/>
        <v>1.2409064039408868</v>
      </c>
    </row>
    <row r="22" spans="1:14" x14ac:dyDescent="0.3">
      <c r="A22">
        <v>1024</v>
      </c>
      <c r="B22">
        <v>800</v>
      </c>
      <c r="C22" s="2">
        <f t="shared" si="4"/>
        <v>8.1920000000000002</v>
      </c>
      <c r="D22" s="2">
        <v>10</v>
      </c>
      <c r="E22">
        <v>63</v>
      </c>
      <c r="F22">
        <v>17.5</v>
      </c>
      <c r="G22" s="2">
        <f t="shared" si="2"/>
        <v>9.1022222222222222</v>
      </c>
      <c r="I22">
        <v>9</v>
      </c>
      <c r="J22">
        <v>19</v>
      </c>
      <c r="K22">
        <v>28</v>
      </c>
      <c r="L22">
        <v>39</v>
      </c>
      <c r="M22" s="2">
        <f t="shared" si="0"/>
        <v>17817.599999999999</v>
      </c>
      <c r="N22" s="1">
        <f t="shared" si="1"/>
        <v>1.0181485714285714</v>
      </c>
    </row>
    <row r="23" spans="1:14" x14ac:dyDescent="0.3">
      <c r="A23">
        <v>800</v>
      </c>
      <c r="B23">
        <v>600</v>
      </c>
      <c r="C23" s="2">
        <f>B23*A23/100000</f>
        <v>4.8</v>
      </c>
      <c r="G23" s="2" t="e">
        <f t="shared" si="2"/>
        <v>#DIV/0!</v>
      </c>
      <c r="M23" s="2">
        <f t="shared" si="0"/>
        <v>9000</v>
      </c>
      <c r="N23" s="1" t="e">
        <f t="shared" si="1"/>
        <v>#DIV/0!</v>
      </c>
    </row>
    <row r="24" spans="1:14" x14ac:dyDescent="0.3">
      <c r="A24">
        <v>800</v>
      </c>
      <c r="B24">
        <v>600</v>
      </c>
      <c r="C24" s="2">
        <f>C23</f>
        <v>4.8</v>
      </c>
      <c r="D24" s="2">
        <v>10</v>
      </c>
      <c r="E24">
        <v>63</v>
      </c>
      <c r="F24">
        <v>12.1</v>
      </c>
      <c r="G24" s="2">
        <f t="shared" si="2"/>
        <v>5.333333333333333</v>
      </c>
      <c r="I24">
        <v>9</v>
      </c>
      <c r="J24">
        <v>18</v>
      </c>
      <c r="K24">
        <v>28</v>
      </c>
      <c r="L24">
        <v>39</v>
      </c>
      <c r="M24" s="2">
        <f t="shared" si="0"/>
        <v>10440</v>
      </c>
      <c r="N24" s="1">
        <f t="shared" si="1"/>
        <v>0.86280991735537194</v>
      </c>
    </row>
    <row r="27" spans="1:14" x14ac:dyDescent="0.3">
      <c r="A27" t="s">
        <v>3</v>
      </c>
    </row>
    <row r="30" spans="1:14" x14ac:dyDescent="0.3">
      <c r="I30" t="s">
        <v>27</v>
      </c>
      <c r="J30" t="s">
        <v>24</v>
      </c>
      <c r="K30" t="s">
        <v>25</v>
      </c>
    </row>
    <row r="31" spans="1:14" x14ac:dyDescent="0.3">
      <c r="A31" t="s">
        <v>20</v>
      </c>
      <c r="C31" s="2" t="s">
        <v>28</v>
      </c>
      <c r="D31" s="2" t="s">
        <v>29</v>
      </c>
      <c r="E31" t="s">
        <v>8</v>
      </c>
      <c r="F31" t="s">
        <v>5</v>
      </c>
      <c r="J31" t="s">
        <v>5</v>
      </c>
    </row>
    <row r="32" spans="1:14" x14ac:dyDescent="0.3">
      <c r="A32">
        <v>800</v>
      </c>
      <c r="B32">
        <v>600</v>
      </c>
      <c r="D32" s="3" t="s">
        <v>21</v>
      </c>
      <c r="E32" t="s">
        <v>22</v>
      </c>
      <c r="F32">
        <v>32110</v>
      </c>
    </row>
    <row r="33" spans="1:10" x14ac:dyDescent="0.3">
      <c r="G33" s="2" t="s">
        <v>10</v>
      </c>
      <c r="H33" s="2" t="s">
        <v>17</v>
      </c>
      <c r="I33">
        <v>40</v>
      </c>
      <c r="J33">
        <v>10160</v>
      </c>
    </row>
    <row r="34" spans="1:10" x14ac:dyDescent="0.3">
      <c r="G34" s="2" t="s">
        <v>11</v>
      </c>
      <c r="H34" s="2" t="s">
        <v>18</v>
      </c>
      <c r="I34">
        <v>40</v>
      </c>
      <c r="J34">
        <v>17230</v>
      </c>
    </row>
    <row r="35" spans="1:10" x14ac:dyDescent="0.3">
      <c r="G35" s="2" t="s">
        <v>12</v>
      </c>
      <c r="H35" s="2" t="s">
        <v>19</v>
      </c>
      <c r="I35">
        <v>40</v>
      </c>
      <c r="J35">
        <v>22420</v>
      </c>
    </row>
    <row r="36" spans="1:10" x14ac:dyDescent="0.3">
      <c r="G36" s="2" t="s">
        <v>13</v>
      </c>
      <c r="H36" s="2" t="s">
        <v>9</v>
      </c>
      <c r="I36">
        <v>40</v>
      </c>
      <c r="J36">
        <v>3240</v>
      </c>
    </row>
    <row r="37" spans="1:10" x14ac:dyDescent="0.3">
      <c r="G37" s="2" t="s">
        <v>14</v>
      </c>
      <c r="H37" s="2" t="s">
        <v>9</v>
      </c>
      <c r="I37">
        <v>65</v>
      </c>
      <c r="J37">
        <v>21040</v>
      </c>
    </row>
    <row r="38" spans="1:10" x14ac:dyDescent="0.3">
      <c r="G38" s="2" t="s">
        <v>15</v>
      </c>
      <c r="H38" s="2" t="s">
        <v>9</v>
      </c>
      <c r="I38">
        <v>77</v>
      </c>
      <c r="J38">
        <v>36800</v>
      </c>
    </row>
    <row r="39" spans="1:10" x14ac:dyDescent="0.3">
      <c r="G39" s="2" t="s">
        <v>16</v>
      </c>
      <c r="H39" s="2" t="s">
        <v>9</v>
      </c>
      <c r="I39">
        <v>82</v>
      </c>
      <c r="J39">
        <v>57000</v>
      </c>
    </row>
    <row r="40" spans="1:10" x14ac:dyDescent="0.3">
      <c r="A40">
        <v>1600</v>
      </c>
      <c r="B40">
        <v>1200</v>
      </c>
      <c r="D40" s="3" t="s">
        <v>21</v>
      </c>
      <c r="E40" t="s">
        <v>23</v>
      </c>
      <c r="F40">
        <v>95710</v>
      </c>
      <c r="G40" s="2" t="s">
        <v>10</v>
      </c>
      <c r="H40" s="2" t="s">
        <v>17</v>
      </c>
      <c r="I40">
        <v>40</v>
      </c>
    </row>
    <row r="41" spans="1:10" x14ac:dyDescent="0.3">
      <c r="G41" s="2" t="s">
        <v>13</v>
      </c>
      <c r="H41" s="2" t="s">
        <v>9</v>
      </c>
      <c r="I41">
        <v>40</v>
      </c>
    </row>
    <row r="42" spans="1:10" x14ac:dyDescent="0.3">
      <c r="G42" s="2" t="s">
        <v>16</v>
      </c>
      <c r="H42" s="2" t="s">
        <v>9</v>
      </c>
    </row>
    <row r="43" spans="1:10" x14ac:dyDescent="0.3">
      <c r="H43" s="2" t="s">
        <v>26</v>
      </c>
      <c r="I43">
        <v>40</v>
      </c>
    </row>
    <row r="44" spans="1:10" x14ac:dyDescent="0.3">
      <c r="H44" s="2" t="s">
        <v>26</v>
      </c>
      <c r="I44">
        <v>82</v>
      </c>
    </row>
    <row r="45" spans="1:10" x14ac:dyDescent="0.3">
      <c r="A45">
        <v>800</v>
      </c>
      <c r="B45">
        <v>600</v>
      </c>
      <c r="C45" s="2">
        <v>36</v>
      </c>
      <c r="D45" s="2">
        <v>44</v>
      </c>
      <c r="E45" t="s">
        <v>30</v>
      </c>
      <c r="F45">
        <v>13260</v>
      </c>
    </row>
    <row r="46" spans="1:10" x14ac:dyDescent="0.3">
      <c r="G46" s="2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 TOCQUEVILLE Eric</dc:creator>
  <cp:lastModifiedBy>DE TOCQUEVILLE Eric</cp:lastModifiedBy>
  <dcterms:created xsi:type="dcterms:W3CDTF">2015-06-05T18:17:20Z</dcterms:created>
  <dcterms:modified xsi:type="dcterms:W3CDTF">2026-07-25T09:19:24Z</dcterms:modified>
</cp:coreProperties>
</file>